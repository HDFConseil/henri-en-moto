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éraire 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D2A4A"/>
      <sz val="10"/>
    </font>
    <font>
      <name val="Arial"/>
      <b val="1"/>
      <color rgb="000D2A4A"/>
      <sz val="9"/>
    </font>
    <font>
      <name val="Arial"/>
      <color rgb="001A0DAB"/>
      <sz val="9"/>
      <u val="single"/>
    </font>
    <font>
      <name val="Arial"/>
      <b val="1"/>
      <color rgb="007A6000"/>
      <sz val="9"/>
    </font>
    <font>
      <name val="Arial"/>
      <i val="1"/>
      <color rgb="007A6000"/>
      <sz val="9"/>
    </font>
    <font>
      <name val="Arial"/>
      <b val="1"/>
      <i val="1"/>
      <color rgb="00444444"/>
      <sz val="8"/>
    </font>
    <font>
      <name val="Arial"/>
      <b val="1"/>
      <color rgb="00444444"/>
      <sz val="8"/>
    </font>
    <font>
      <name val="Arial"/>
      <b val="1"/>
      <color rgb="000A3A20"/>
      <sz val="10"/>
    </font>
    <font>
      <name val="Arial"/>
      <b val="1"/>
      <color rgb="000A3A20"/>
      <sz val="9"/>
    </font>
    <font>
      <name val="Arial"/>
      <b val="1"/>
      <color rgb="003A1A6A"/>
      <sz val="10"/>
    </font>
    <font>
      <name val="Arial"/>
      <b val="1"/>
      <color rgb="003A1A6A"/>
      <sz val="9"/>
    </font>
    <font>
      <name val="Arial"/>
      <b val="1"/>
      <color rgb="006A3A00"/>
      <sz val="10"/>
    </font>
    <font>
      <name val="Arial"/>
      <b val="1"/>
      <color rgb="006A3A00"/>
      <sz val="9"/>
    </font>
    <font>
      <name val="Arial"/>
      <b val="1"/>
      <color rgb="000A3040"/>
      <sz val="10"/>
    </font>
    <font>
      <name val="Arial"/>
      <b val="1"/>
      <color rgb="000A3040"/>
      <sz val="9"/>
    </font>
    <font>
      <name val="Arial"/>
      <color rgb="00005580"/>
      <sz val="9"/>
      <u val="single"/>
    </font>
    <font>
      <name val="Arial"/>
      <b val="1"/>
      <color rgb="00333333"/>
      <sz val="10"/>
    </font>
    <font>
      <name val="Arial"/>
      <b val="1"/>
      <color rgb="00333333"/>
      <sz val="9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CE8F5"/>
      </patternFill>
    </fill>
    <fill>
      <patternFill patternType="solid">
        <fgColor rgb="00E8F0FE"/>
      </patternFill>
    </fill>
    <fill>
      <patternFill patternType="solid">
        <fgColor rgb="00FFFDE7"/>
      </patternFill>
    </fill>
    <fill>
      <patternFill patternType="solid">
        <fgColor rgb="00F0F0F0"/>
      </patternFill>
    </fill>
    <fill>
      <patternFill patternType="solid">
        <fgColor rgb="00DCF0E4"/>
      </patternFill>
    </fill>
    <fill>
      <patternFill patternType="solid">
        <fgColor rgb="00ECE4F5"/>
      </patternFill>
    </fill>
    <fill>
      <patternFill patternType="solid">
        <fgColor rgb="00FEF3E2"/>
      </patternFill>
    </fill>
    <fill>
      <patternFill patternType="solid">
        <fgColor rgb="00E8F4F8"/>
      </patternFill>
    </fill>
    <fill>
      <patternFill patternType="solid">
        <fgColor rgb="00E0F0FF"/>
      </patternFill>
    </fill>
    <fill>
      <patternFill patternType="solid">
        <fgColor rgb="00EBEB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2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21" fillId="2" borderId="2" applyAlignment="1" pivotButton="0" quotePrefix="0" xfId="0">
      <alignment horizontal="center" vertical="center" wrapText="1"/>
    </xf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Abbeville,+France/M%C3%BCnster,+Germany/data=!4m16!4m15!1m5!1m1!19sChIJF3CaE8GM3UcRFvlyFcvReCc!2m2!1d1.836833!2d50.105467!1m5!1m1!19sChIJ32D3mcO6uUcR6yjze6dM6yE!2m2!1d7.6261347!2d51.9606649!2m1!2b1!3e0?entry=gemini" TargetMode="External" Id="rId1"/><Relationship Type="http://schemas.openxmlformats.org/officeDocument/2006/relationships/hyperlink" Target="https://www.google.com/maps/dir/M%C3%BCnster,+Germany/Hamburg,+Germany/data=!4m16!4m15!1m5!1m1!19sChIJ32D3mcO6uUcR6yjze6dM6yE!2m2!1d7.6261347!2d51.9606649!1m5!1m1!19sChIJuRMYfoNhsUcRoDrWe_I9JgQ!2m2!1d9.9871702999999989!2d53.548828199999996!2m1!2b1!3e0?entry=gemini" TargetMode="External" Id="rId2"/><Relationship Type="http://schemas.openxmlformats.org/officeDocument/2006/relationships/hyperlink" Target="https://www.google.com/maps/dir/Hamburg,+Germany/Copenhagen,+Denmark/data=!4m16!4m15!1m5!1m1!19sChIJuRMYfoNhsUcRoDrWe_I9JgQ!2m2!1d9.9871702999999989!2d53.548828199999996!1m5!1m1!19sChIJIz2AXDxTUkYRuGeU5t1-3QQ!2m2!1d12.5683372!2d55.676096799999996!2m1!2b1!3e0?entry=gemini" TargetMode="External" Id="rId3"/><Relationship Type="http://schemas.openxmlformats.org/officeDocument/2006/relationships/hyperlink" Target="https://www.google.com/maps/dir/Copenhagen,+Denmark/Uddevalla,+Sweden/data=!4m16!4m15!1m5!1m1!19sChIJIz2AXDxTUkYRuGeU5t1-3QQ!2m2!1d12.5683372!2d55.676096799999996!1m5!1m1!19sChIJ7QwIVzYERUYRQM2zOJqNMEA!2m2!1d11.935649!2d58.3498003!2m1!2b1!3e0?entry=gemini" TargetMode="External" Id="rId4"/><Relationship Type="http://schemas.openxmlformats.org/officeDocument/2006/relationships/hyperlink" Target="https://www.google.com/maps/dir/Uddevalla,+Sweden/Mora,+Sweden/data=!4m16!4m15!1m5!1m1!19sChIJ7QwIVzYERUYRQM2zOJqNMEA!2m2!1d11.935649!2d58.3498003!1m5!1m1!19sChIJpWmgeUTbZ0YR-cUlkAQU-RQ!2m2!1d14.537002999999999!2d61.004878!2m1!2b1!3e0?entry=gemini" TargetMode="External" Id="rId5"/><Relationship Type="http://schemas.openxmlformats.org/officeDocument/2006/relationships/hyperlink" Target="https://www.google.com/maps/dir/Mora,+Sweden/%C3%96stersund,+Sweden/data=!4m16!4m15!1m5!1m1!19sChIJpWmgeUTbZ0YR-cUlkAQU-RQ!2m2!1d14.537002999999999!2d61.004878!1m5!1m1!19sChIJkTD51Ea4b0YR3tzPMz3C3ko!2m2!1d14.6360681!2d63.1766832!2m1!2b1!3e0?entry=gemini" TargetMode="External" Id="rId6"/><Relationship Type="http://schemas.openxmlformats.org/officeDocument/2006/relationships/hyperlink" Target="https://www.google.com/maps/dir/%C3%96stersund,+Sweden/Stekenjokk,+Vildmarksv%C3%A4gen,+Klimpfj%C3%A4ll,+Sweden/data=!4m16!4m15!1m5!1m1!19sChIJkTD51Ea4b0YR3tzPMz3C3ko!2m2!1d14.6360681!2d63.1766832!1m5!1m1!19sChIJ8SnKKCk1cUYRKBcJxMwgrqM!2m2!1d14.466693099999999!2d65.1003601!2m1!2b1!3e0?entry=gemini" TargetMode="External" Id="rId7"/><Relationship Type="http://schemas.openxmlformats.org/officeDocument/2006/relationships/hyperlink" Target="https://www.google.com/maps/dir/?api=1&amp;origin=Stekenjokk,Sweden&amp;destination=Jokkmokk,Sweden&amp;avoid=tolls" TargetMode="External" Id="rId8"/><Relationship Type="http://schemas.openxmlformats.org/officeDocument/2006/relationships/hyperlink" Target="https://www.google.com/maps/dir/?api=1&amp;origin=Jokkmokk,Sweden&amp;destination=Abisko,Sweden&amp;avoid=tolls" TargetMode="External" Id="rId9"/><Relationship Type="http://schemas.openxmlformats.org/officeDocument/2006/relationships/hyperlink" Target="https://www.google.com/maps/dir/Abisko,+Sweden/Haparanda,+Sweden/data=!4m16!4m15!1m5!1m1!19sChIJQeg5wrVF2kURRiO9l1ivFUw!2m2!1d18.8312408!2d68.34954119999999!1m5!1m1!19sChIJ6XA5VwxH1UURu3WIqp0TAEQ!2m2!1d24.1276643!2d65.8417085!2m1!2b1!3e0?entry=gemini" TargetMode="External" Id="rId10"/><Relationship Type="http://schemas.openxmlformats.org/officeDocument/2006/relationships/hyperlink" Target="https://www.google.com/maps/dir/Haparanda,+Sweden/Kuusamo,+Finland/data=!4m16!4m15!1m5!1m1!19sChIJ6XA5VwxH1UURu3WIqp0TAEQ!2m2!1d24.1276643!2d65.8417085!1m5!1m1!19sChIJQQQeXbRPKUQRELR1PNZGAQQ!2m2!1d29.188665099999998!2d65.9645876!2m1!2b1!3e0?entry=gemini" TargetMode="External" Id="rId11"/><Relationship Type="http://schemas.openxmlformats.org/officeDocument/2006/relationships/hyperlink" Target="https://www.google.com/maps/dir/Kuusamo,+Finland/Suomussalmi,+Finland/data=!4m16!4m15!1m5!1m1!19sChIJQQQeXbRPKUQRELR1PNZGAQQ!2m2!1d29.188665099999998!2d65.9645876!1m5!1m1!19sChIJORF4yHLLKUQRMVfg5pkJ1Aw!2m2!1d28.911655999999997!2d64.8841107!2m1!2b1!3e0?entry=gemini" TargetMode="External" Id="rId12"/><Relationship Type="http://schemas.openxmlformats.org/officeDocument/2006/relationships/hyperlink" Target="https://www.google.com/maps/dir/Suomussalmi,+Finland/Lieksa,+Finland/data=!4m16!4m15!1m5!1m1!19sChIJORF4yHLLKUQRMVfg5pkJ1Aw!2m2!1d28.911655999999997!2d64.8841107!1m5!1m1!19sChIJLzhMuC_7nEYRbOqOU4XKTJA!2m2!1d30.026452799999998!2d63.318505099999996!2m1!2b1!3e0?entry=gemini" TargetMode="External" Id="rId13"/><Relationship Type="http://schemas.openxmlformats.org/officeDocument/2006/relationships/hyperlink" Target="https://www.google.com/maps/dir/Lieksa,+Finland/Savonlinna,+Finland/data=!4m16!4m15!1m5!1m1!19sChIJLzhMuC_7nEYRbOqOU4XKTJA!2m2!1d30.026452799999998!2d63.318505099999996!1m5!1m1!19sChIJpR33V3hQmkYRTrxnzUidFa0!2m2!1d28.8861802!2d61.8683766!2m1!2b1!3e0?entry=gemini" TargetMode="External" Id="rId14"/><Relationship Type="http://schemas.openxmlformats.org/officeDocument/2006/relationships/hyperlink" Target="https://www.google.com/maps/dir/Savonlinna,+Finland/Helsinki,+Finland/data=!4m16!4m15!1m5!1m1!19sChIJpR33V3hQmkYRTrxnzUidFa0!2m2!1d28.8861802!2d61.8683766!1m5!1m1!19sChIJkQYhlscLkkYRY_fiO4S9Ts0!2m2!1d24.9383791!2d60.1698557!2m1!2b1!3e0?entry=gemini" TargetMode="External" Id="rId15"/><Relationship Type="http://schemas.openxmlformats.org/officeDocument/2006/relationships/hyperlink" Target="https://www.tallinksilja.fr" TargetMode="External" Id="rId16"/><Relationship Type="http://schemas.openxmlformats.org/officeDocument/2006/relationships/hyperlink" Target="https://www.google.com/maps/dir/Tallinn,+Harju+County,+Estonia/Riga,+R%C4%ABga+pils%C4%93ta,+Riga,+Latvia/data=!4m16!4m15!1m5!1m1!19sChIJvxZW35mUkkYRcGL8GG2zAAQ!2m2!1d24.753574699999998!2d59.436960799999994!1m5!1m1!19sChIJ7T0H5bDP7kYRMP7yaM3PAAQ!2m2!1d24.105622099999998!2d56.967694099999996!2m1!2b1!3e0?entry=gemini" TargetMode="External" Id="rId17"/><Relationship Type="http://schemas.openxmlformats.org/officeDocument/2006/relationships/hyperlink" Target="https://www.google.com/maps/dir/Riga,+R%C4%ABga+pils%C4%93ta,+Riga,+Latvia/Vilnius,+Vilnius+City+Municipality,+Lithuania/data=!4m16!4m15!1m5!1m1!19sChIJ7T0H5bDP7kYRMP7yaM3PAAQ!2m2!1d24.105622099999998!2d56.967694099999996!1m5!1m1!19sChIJ9QhkXPuT3UYRQNzpcIzRAAQ!2m2!1d25.2796514!2d54.687155499999996!2m1!2b1!3e0?entry=gemini" TargetMode="External" Id="rId18"/><Relationship Type="http://schemas.openxmlformats.org/officeDocument/2006/relationships/hyperlink" Target="https://www.google.com/maps/dir/Vilnius,+Vilnius+City+Municipality,+Lithuania/Warsaw,+Poland/data=!4m16!4m15!1m5!1m1!19sChIJ9QhkXPuT3UYRQNzpcIzRAAQ!2m2!1d25.2796514!2d54.687155499999996!1m5!1m1!19sChIJAZ-GmmbMHkcR_NPqiCq-8HI!2m2!1d21.012228699999998!2d52.2296756!2m1!2b1!3e0?entry=gemini" TargetMode="External" Id="rId19"/><Relationship Type="http://schemas.openxmlformats.org/officeDocument/2006/relationships/hyperlink" Target="https://www.google.com/maps/dir/Warsaw,+Poland/Pozna%C5%84,+Poland/data=!4m16!4m15!1m5!1m1!19sChIJAZ-GmmbMHkcR_NPqiCq-8HI!2m2!1d21.012228699999998!2d52.2296756!1m5!1m1!19sChIJtwrh7NJEBEcR0b80A5gx6qQ!2m2!1d16.9312766!2d52.405678599999995!2m1!2b1!3e0?entry=gemini" TargetMode="External" Id="rId20"/><Relationship Type="http://schemas.openxmlformats.org/officeDocument/2006/relationships/hyperlink" Target="https://www.google.com/maps/dir/Pozna%C5%84,+Poland/Magdeburg,+Germany/data=!4m16!4m15!1m5!1m1!19sChIJtwrh7NJEBEcR0b80A5gx6qQ!2m2!1d16.9312766!2d52.405678599999995!1m5!1m1!19sChIJW-raVf_1pUcRYBAH-FlmIwQ!2m2!1d11.6080863!2d52.1131758!2m1!2b1!3e0?entry=gemini" TargetMode="External" Id="rId21"/><Relationship Type="http://schemas.openxmlformats.org/officeDocument/2006/relationships/hyperlink" Target="https://www.google.com/maps/dir/Magdeburg,+Germany/M%C3%BCnster,+Germany/data=!4m16!4m15!1m5!1m1!19sChIJW-raVf_1pUcRYBAH-FlmIwQ!2m2!1d11.6080863!2d52.1131758!1m5!1m1!19sChIJ32D3mcO6uUcR6yjze6dM6yE!2m2!1d7.6261347!2d51.9606649!2m1!2b1!3e0?entry=gemini" TargetMode="External" Id="rId22"/><Relationship Type="http://schemas.openxmlformats.org/officeDocument/2006/relationships/hyperlink" Target="https://www.google.com/maps/dir/M%C3%BCnster,+Germany/Abbeville,+France/data=!4m14!4m13!1m5!1m1!19sChIJ32D3mcO6uUcR6yjze6dM6yE!2m2!1d7.6261347!2d51.9606649!1m5!1m1!19sChIJF3CaE8GM3UcRFvlyFcvReCc!2m2!1d1.836833!2d50.105467!3e0?entry=gemini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22" customWidth="1" min="4" max="4"/>
    <col width="22" customWidth="1" min="5" max="5"/>
    <col width="8" customWidth="1" min="6" max="6"/>
    <col width="10" customWidth="1" min="7" max="7"/>
    <col width="24" customWidth="1" min="8" max="8"/>
    <col width="30" customWidth="1" min="9" max="9"/>
    <col width="14" customWidth="1" min="10" max="10"/>
  </cols>
  <sheetData>
    <row r="1" ht="28" customHeight="1">
      <c r="A1" s="1" t="inlineStr">
        <is>
          <t>ROAD-TRIP SCANDINAVIE &amp; BALTIQUE — Août 2026 — Transalp 650</t>
        </is>
      </c>
    </row>
    <row r="2" ht="22" customHeight="1">
      <c r="A2" s="2" t="inlineStr">
        <is>
          <t>Phase</t>
        </is>
      </c>
      <c r="B2" s="2" t="inlineStr">
        <is>
          <t>Jour</t>
        </is>
      </c>
      <c r="C2" s="2" t="inlineStr">
        <is>
          <t>Date</t>
        </is>
      </c>
      <c r="D2" s="2" t="inlineStr">
        <is>
          <t>Départ</t>
        </is>
      </c>
      <c r="E2" s="2" t="inlineStr">
        <is>
          <t>Arrivée</t>
        </is>
      </c>
      <c r="F2" s="2" t="inlineStr">
        <is>
          <t>km</t>
        </is>
      </c>
      <c r="G2" s="2" t="inlineStr">
        <is>
          <t>Temps</t>
        </is>
      </c>
      <c r="H2" s="2" t="inlineStr">
        <is>
          <t>Hébergement / Activité</t>
        </is>
      </c>
      <c r="I2" s="2" t="inlineStr">
        <is>
          <t>Commentaires / Bivouac</t>
        </is>
      </c>
      <c r="J2" s="2" t="inlineStr">
        <is>
          <t>Google Maps</t>
        </is>
      </c>
    </row>
    <row r="3" ht="20" customHeight="1">
      <c r="A3" s="3" t="inlineStr">
        <is>
          <t xml:space="preserve">  ▶  1. Approche</t>
        </is>
      </c>
    </row>
    <row r="4" ht="30" customHeight="1">
      <c r="A4" s="4" t="inlineStr">
        <is>
          <t>1. Approche</t>
        </is>
      </c>
      <c r="B4" s="4" t="inlineStr">
        <is>
          <t>J1</t>
        </is>
      </c>
      <c r="C4" s="5" t="inlineStr">
        <is>
          <t>Ven 31 juil.</t>
        </is>
      </c>
      <c r="D4" s="5" t="inlineStr">
        <is>
          <t>Abbeville (FR)</t>
        </is>
      </c>
      <c r="E4" s="5" t="inlineStr">
        <is>
          <t>Münster (DE)</t>
        </is>
      </c>
      <c r="F4" s="4" t="n">
        <v>531</v>
      </c>
      <c r="G4" s="4" t="inlineStr">
        <is>
          <t>06h15</t>
        </is>
      </c>
      <c r="H4" s="5" t="inlineStr">
        <is>
          <t>Hôtel / AirBnb</t>
        </is>
      </c>
      <c r="I4" s="5" t="inlineStr">
        <is>
          <t>Liaison bitume (sans péage).</t>
        </is>
      </c>
      <c r="J4" s="6" t="inlineStr">
        <is>
          <t>📍 Voir itinéraire</t>
        </is>
      </c>
    </row>
    <row r="5" ht="30" customHeight="1">
      <c r="A5" s="4" t="inlineStr">
        <is>
          <t>1. Approche</t>
        </is>
      </c>
      <c r="B5" s="4" t="inlineStr">
        <is>
          <t>J2</t>
        </is>
      </c>
      <c r="C5" s="5" t="inlineStr">
        <is>
          <t>Sam 1 août</t>
        </is>
      </c>
      <c r="D5" s="5" t="inlineStr">
        <is>
          <t>Münster (DE)</t>
        </is>
      </c>
      <c r="E5" s="5" t="inlineStr">
        <is>
          <t>Hambourg (DE)</t>
        </is>
      </c>
      <c r="F5" s="4" t="n">
        <v>282</v>
      </c>
      <c r="G5" s="4" t="inlineStr">
        <is>
          <t>02h50</t>
        </is>
      </c>
      <c r="H5" s="5" t="inlineStr">
        <is>
          <t>Hôtel / Pension</t>
        </is>
      </c>
      <c r="I5" s="5" t="inlineStr">
        <is>
          <t>Après-midi libre pour visiter Hambourg.</t>
        </is>
      </c>
      <c r="J5" s="6" t="inlineStr">
        <is>
          <t>📍 Voir itinéraire</t>
        </is>
      </c>
    </row>
    <row r="6" ht="30" customHeight="1">
      <c r="A6" s="4" t="inlineStr">
        <is>
          <t>1. Approche</t>
        </is>
      </c>
      <c r="B6" s="4" t="inlineStr">
        <is>
          <t>J3</t>
        </is>
      </c>
      <c r="C6" s="5" t="inlineStr">
        <is>
          <t>Dim 2 août</t>
        </is>
      </c>
      <c r="D6" s="5" t="inlineStr">
        <is>
          <t>Hambourg (DE)</t>
        </is>
      </c>
      <c r="E6" s="5" t="inlineStr">
        <is>
          <t>Copenhague (DK)</t>
        </is>
      </c>
      <c r="F6" s="4" t="n">
        <v>471</v>
      </c>
      <c r="G6" s="4" t="inlineStr">
        <is>
          <t>05h00</t>
        </is>
      </c>
      <c r="H6" s="5" t="inlineStr">
        <is>
          <t>Camping / Cabane</t>
        </is>
      </c>
      <c r="I6" s="5" t="inlineStr">
        <is>
          <t>Passage des ponts danois.</t>
        </is>
      </c>
      <c r="J6" s="6" t="inlineStr">
        <is>
          <t>📍 Voir itinéraire</t>
        </is>
      </c>
    </row>
    <row r="7" ht="30" customHeight="1">
      <c r="A7" s="4" t="inlineStr">
        <is>
          <t>1. Approche</t>
        </is>
      </c>
      <c r="B7" s="4" t="inlineStr">
        <is>
          <t>J4</t>
        </is>
      </c>
      <c r="C7" s="5" t="inlineStr">
        <is>
          <t>Lun 3 août</t>
        </is>
      </c>
      <c r="D7" s="5" t="inlineStr">
        <is>
          <t>Copenhague (DK)</t>
        </is>
      </c>
      <c r="E7" s="5" t="inlineStr">
        <is>
          <t>Bohuslän (SE)</t>
        </is>
      </c>
      <c r="F7" s="4" t="n">
        <v>313</v>
      </c>
      <c r="G7" s="4" t="inlineStr">
        <is>
          <t>03h25</t>
        </is>
      </c>
      <c r="H7" s="5" t="inlineStr">
        <is>
          <t>Bivouac Sauvage</t>
        </is>
      </c>
      <c r="I7" s="5" t="inlineStr">
        <is>
          <t>Pont de l'Øresund, côtes de granit.</t>
        </is>
      </c>
      <c r="J7" s="6" t="inlineStr">
        <is>
          <t>📍 Voir itinéraire</t>
        </is>
      </c>
    </row>
    <row r="8" ht="30" customHeight="1">
      <c r="A8" s="7" t="inlineStr">
        <is>
          <t>1. Approche</t>
        </is>
      </c>
      <c r="B8" s="7" t="inlineStr">
        <is>
          <t>J5</t>
        </is>
      </c>
      <c r="C8" s="8" t="inlineStr">
        <is>
          <t>Mar 4 août</t>
        </is>
      </c>
      <c r="D8" s="8" t="inlineStr">
        <is>
          <t>Bohuslän (SE)</t>
        </is>
      </c>
      <c r="E8" s="8" t="inlineStr">
        <is>
          <t>Bohuslän (SE)</t>
        </is>
      </c>
      <c r="F8" s="7" t="inlineStr">
        <is>
          <t>—</t>
        </is>
      </c>
      <c r="G8" s="7" t="inlineStr">
        <is>
          <t>—</t>
        </is>
      </c>
      <c r="H8" s="8" t="inlineStr">
        <is>
          <t>Repos / Grimpe</t>
        </is>
      </c>
      <c r="I8" s="8" t="inlineStr">
        <is>
          <t>Escalade Trad Bohuslän. Bivouac falaises.</t>
        </is>
      </c>
      <c r="J8" s="9" t="inlineStr">
        <is>
          <t>🏕 Repos</t>
        </is>
      </c>
    </row>
    <row r="9" ht="15" customHeight="1">
      <c r="A9" s="10" t="inlineStr">
        <is>
          <t>Sous-total — 1. Approche</t>
        </is>
      </c>
      <c r="F9" s="11">
        <f>SUM(F4,F5,F6,F7)</f>
        <v/>
      </c>
      <c r="G9" s="12" t="n"/>
      <c r="H9" s="12" t="n"/>
      <c r="I9" s="12" t="n"/>
      <c r="J9" s="12" t="n"/>
    </row>
    <row r="10" ht="20" customHeight="1">
      <c r="A10" s="13" t="inlineStr">
        <is>
          <t xml:space="preserve">  ▶  2. Pistes du Centre</t>
        </is>
      </c>
    </row>
    <row r="11" ht="30" customHeight="1">
      <c r="A11" s="14" t="inlineStr">
        <is>
          <t>2. Pistes du Centre</t>
        </is>
      </c>
      <c r="B11" s="14" t="inlineStr">
        <is>
          <t>J6</t>
        </is>
      </c>
      <c r="C11" s="15" t="inlineStr">
        <is>
          <t>Mer 5 août</t>
        </is>
      </c>
      <c r="D11" s="15" t="inlineStr">
        <is>
          <t>Bohuslän (SE)</t>
        </is>
      </c>
      <c r="E11" s="15" t="inlineStr">
        <is>
          <t>Mora / Lac Siljan</t>
        </is>
      </c>
      <c r="F11" s="14" t="n">
        <v>380</v>
      </c>
      <c r="G11" s="14" t="inlineStr">
        <is>
          <t>05h15</t>
        </is>
      </c>
      <c r="H11" s="15" t="inlineStr">
        <is>
          <t>Vindskydd / Tente</t>
        </is>
      </c>
      <c r="I11" s="15" t="inlineStr">
        <is>
          <t>Pistes gravier forestier. Bivouac lac.</t>
        </is>
      </c>
      <c r="J11" s="6" t="inlineStr">
        <is>
          <t>📍 Voir itinéraire</t>
        </is>
      </c>
    </row>
    <row r="12" ht="30" customHeight="1">
      <c r="A12" s="14" t="inlineStr">
        <is>
          <t>2. Pistes du Centre</t>
        </is>
      </c>
      <c r="B12" s="14" t="inlineStr">
        <is>
          <t>J7</t>
        </is>
      </c>
      <c r="C12" s="15" t="inlineStr">
        <is>
          <t>Jeu 6 août</t>
        </is>
      </c>
      <c r="D12" s="15" t="inlineStr">
        <is>
          <t>Mora (SE)</t>
        </is>
      </c>
      <c r="E12" s="15" t="inlineStr">
        <is>
          <t>Östersund (SE)</t>
        </is>
      </c>
      <c r="F12" s="14" t="n">
        <v>320</v>
      </c>
      <c r="G12" s="14" t="inlineStr">
        <is>
          <t>04h10</t>
        </is>
      </c>
      <c r="H12" s="15" t="inlineStr">
        <is>
          <t>Vindskydd / Tente</t>
        </is>
      </c>
      <c r="I12" s="15" t="inlineStr">
        <is>
          <t>Immersion taïga sauvage et rivières.</t>
        </is>
      </c>
      <c r="J12" s="6" t="inlineStr">
        <is>
          <t>📍 Voir itinéraire</t>
        </is>
      </c>
    </row>
    <row r="13" ht="30" customHeight="1">
      <c r="A13" s="14" t="inlineStr">
        <is>
          <t>2. Pistes du Centre</t>
        </is>
      </c>
      <c r="B13" s="14" t="inlineStr">
        <is>
          <t>J8</t>
        </is>
      </c>
      <c r="C13" s="15" t="inlineStr">
        <is>
          <t>Ven 7 août</t>
        </is>
      </c>
      <c r="D13" s="15" t="inlineStr">
        <is>
          <t>Östersund (SE)</t>
        </is>
      </c>
      <c r="E13" s="15" t="inlineStr">
        <is>
          <t>Col de Stekenjokk</t>
        </is>
      </c>
      <c r="F13" s="14" t="n">
        <v>290</v>
      </c>
      <c r="G13" s="14" t="inlineStr">
        <is>
          <t>04h00</t>
        </is>
      </c>
      <c r="H13" s="15" t="inlineStr">
        <is>
          <t>Bivouac Toundra</t>
        </is>
      </c>
      <c r="I13" s="15" t="inlineStr">
        <is>
          <t>Vildmarksvägen. Nuit plateau alpin.</t>
        </is>
      </c>
      <c r="J13" s="6" t="inlineStr">
        <is>
          <t>📍 Voir itinéraire</t>
        </is>
      </c>
    </row>
    <row r="14" ht="15" customHeight="1">
      <c r="A14" s="10" t="inlineStr">
        <is>
          <t>Sous-total — 2. Pistes du Centre</t>
        </is>
      </c>
      <c r="F14" s="11">
        <f>SUM(F11,F12,F13)</f>
        <v/>
      </c>
      <c r="G14" s="12" t="n"/>
      <c r="H14" s="12" t="n"/>
      <c r="I14" s="12" t="n"/>
      <c r="J14" s="12" t="n"/>
    </row>
    <row r="15" ht="20" customHeight="1">
      <c r="A15" s="16" t="inlineStr">
        <is>
          <t xml:space="preserve">  ▶  3. Boucle Arctique</t>
        </is>
      </c>
    </row>
    <row r="16" ht="30" customHeight="1">
      <c r="A16" s="17" t="inlineStr">
        <is>
          <t>3. Boucle Arctique</t>
        </is>
      </c>
      <c r="B16" s="17" t="inlineStr">
        <is>
          <t>J9</t>
        </is>
      </c>
      <c r="C16" s="18" t="inlineStr">
        <is>
          <t>Sam 8 août</t>
        </is>
      </c>
      <c r="D16" s="18" t="inlineStr">
        <is>
          <t>Col de Stekenjokk</t>
        </is>
      </c>
      <c r="E16" s="18" t="inlineStr">
        <is>
          <t>Jokkmokk (SE)</t>
        </is>
      </c>
      <c r="F16" s="17" t="n">
        <v>490</v>
      </c>
      <c r="G16" s="17" t="inlineStr">
        <is>
          <t>06h00</t>
        </is>
      </c>
      <c r="H16" s="18" t="inlineStr">
        <is>
          <t>Vindskydd / Tente</t>
        </is>
      </c>
      <c r="I16" s="18" t="inlineStr">
        <is>
          <t>Passage du cercle polaire.</t>
        </is>
      </c>
      <c r="J16" s="6" t="inlineStr">
        <is>
          <t>📍 Voir itinéraire</t>
        </is>
      </c>
    </row>
    <row r="17" ht="30" customHeight="1">
      <c r="A17" s="17" t="inlineStr">
        <is>
          <t>3. Boucle Arctique</t>
        </is>
      </c>
      <c r="B17" s="17" t="inlineStr">
        <is>
          <t>J10</t>
        </is>
      </c>
      <c r="C17" s="18" t="inlineStr">
        <is>
          <t>Dim 9 août</t>
        </is>
      </c>
      <c r="D17" s="18" t="inlineStr">
        <is>
          <t>Jokkmokk (SE)</t>
        </is>
      </c>
      <c r="E17" s="18" t="inlineStr">
        <is>
          <t>Abisko (SE)</t>
        </is>
      </c>
      <c r="F17" s="17" t="n">
        <v>310</v>
      </c>
      <c r="G17" s="17" t="inlineStr">
        <is>
          <t>03h50</t>
        </is>
      </c>
      <c r="H17" s="18" t="inlineStr">
        <is>
          <t>Bivouac / Cabane</t>
        </is>
      </c>
      <c r="I17" s="18" t="inlineStr">
        <is>
          <t>E10. Bivouac face à la faille de Lapporten.</t>
        </is>
      </c>
      <c r="J17" s="6" t="inlineStr">
        <is>
          <t>📍 Voir itinéraire</t>
        </is>
      </c>
    </row>
    <row r="18" ht="30" customHeight="1">
      <c r="A18" s="7" t="inlineStr">
        <is>
          <t>3. Boucle Arctique</t>
        </is>
      </c>
      <c r="B18" s="7" t="inlineStr">
        <is>
          <t>J11</t>
        </is>
      </c>
      <c r="C18" s="8" t="inlineStr">
        <is>
          <t>Lun 10 août</t>
        </is>
      </c>
      <c r="D18" s="8" t="inlineStr">
        <is>
          <t>Abisko (SE)</t>
        </is>
      </c>
      <c r="E18" s="8" t="inlineStr">
        <is>
          <t>Abisko (SE)</t>
        </is>
      </c>
      <c r="F18" s="7" t="inlineStr">
        <is>
          <t>—</t>
        </is>
      </c>
      <c r="G18" s="7" t="inlineStr">
        <is>
          <t>—</t>
        </is>
      </c>
      <c r="H18" s="8" t="inlineStr">
        <is>
          <t>Repos / Rando</t>
        </is>
      </c>
      <c r="I18" s="8" t="inlineStr">
        <is>
          <t>Randonnée Kungsleden (Voie Royale).</t>
        </is>
      </c>
      <c r="J18" s="9" t="inlineStr">
        <is>
          <t>🏕 Repos</t>
        </is>
      </c>
    </row>
    <row r="19" ht="30" customHeight="1">
      <c r="A19" s="17" t="inlineStr">
        <is>
          <t>3. Boucle Arctique</t>
        </is>
      </c>
      <c r="B19" s="17" t="inlineStr">
        <is>
          <t>J12</t>
        </is>
      </c>
      <c r="C19" s="18" t="inlineStr">
        <is>
          <t>Mar 11 août</t>
        </is>
      </c>
      <c r="D19" s="18" t="inlineStr">
        <is>
          <t>Abisko (SE)</t>
        </is>
      </c>
      <c r="E19" s="18" t="inlineStr">
        <is>
          <t>Haparanda (SE)</t>
        </is>
      </c>
      <c r="F19" s="17" t="n">
        <v>440</v>
      </c>
      <c r="G19" s="17" t="inlineStr">
        <is>
          <t>05h20</t>
        </is>
      </c>
      <c r="H19" s="18" t="inlineStr">
        <is>
          <t>Vindskydd / Tente</t>
        </is>
      </c>
      <c r="I19" s="18" t="inlineStr">
        <is>
          <t>Descente toundra → frontière finlandaise.</t>
        </is>
      </c>
      <c r="J19" s="6" t="inlineStr">
        <is>
          <t>📍 Voir itinéraire</t>
        </is>
      </c>
    </row>
    <row r="20" ht="15" customHeight="1">
      <c r="A20" s="10" t="inlineStr">
        <is>
          <t>Sous-total — 3. Boucle Arctique</t>
        </is>
      </c>
      <c r="F20" s="11">
        <f>SUM(F16,F17,F19)</f>
        <v/>
      </c>
      <c r="G20" s="12" t="n"/>
      <c r="H20" s="12" t="n"/>
      <c r="I20" s="12" t="n"/>
      <c r="J20" s="12" t="n"/>
    </row>
    <row r="21" ht="20" customHeight="1">
      <c r="A21" s="19" t="inlineStr">
        <is>
          <t xml:space="preserve">  ▶  4. Taïga &amp; Lacs (FI)</t>
        </is>
      </c>
    </row>
    <row r="22" ht="30" customHeight="1">
      <c r="A22" s="20" t="inlineStr">
        <is>
          <t>4. Taïga &amp; Lacs (FI)</t>
        </is>
      </c>
      <c r="B22" s="20" t="inlineStr">
        <is>
          <t>J13</t>
        </is>
      </c>
      <c r="C22" s="21" t="inlineStr">
        <is>
          <t>Mer 12 août</t>
        </is>
      </c>
      <c r="D22" s="21" t="inlineStr">
        <is>
          <t>Haparanda (SE)</t>
        </is>
      </c>
      <c r="E22" s="21" t="inlineStr">
        <is>
          <t>Kuusamo / Ruka (FI)</t>
        </is>
      </c>
      <c r="F22" s="20" t="n">
        <v>270</v>
      </c>
      <c r="G22" s="20" t="inlineStr">
        <is>
          <t>03h45</t>
        </is>
      </c>
      <c r="H22" s="21" t="inlineStr">
        <is>
          <t>Laavu / Tente</t>
        </is>
      </c>
      <c r="I22" s="21" t="inlineStr">
        <is>
          <t>Entrée Finlande. House of Gravel.</t>
        </is>
      </c>
      <c r="J22" s="6" t="inlineStr">
        <is>
          <t>📍 Voir itinéraire</t>
        </is>
      </c>
    </row>
    <row r="23" ht="30" customHeight="1">
      <c r="A23" s="20" t="inlineStr">
        <is>
          <t>4. Taïga &amp; Lacs (FI)</t>
        </is>
      </c>
      <c r="B23" s="20" t="inlineStr">
        <is>
          <t>J14</t>
        </is>
      </c>
      <c r="C23" s="21" t="inlineStr">
        <is>
          <t>Jeu 13 août</t>
        </is>
      </c>
      <c r="D23" s="21" t="inlineStr">
        <is>
          <t>Kuusamo (FI)</t>
        </is>
      </c>
      <c r="E23" s="21" t="inlineStr">
        <is>
          <t>Suomussalmi (FI)</t>
        </is>
      </c>
      <c r="F23" s="20" t="n">
        <v>220</v>
      </c>
      <c r="G23" s="20" t="inlineStr">
        <is>
          <t>03h15</t>
        </is>
      </c>
      <c r="H23" s="21" t="inlineStr">
        <is>
          <t>Laavu / Cabane</t>
        </is>
      </c>
      <c r="I23" s="21" t="inlineStr">
        <is>
          <t>Route des Ours, frontière russe.</t>
        </is>
      </c>
      <c r="J23" s="6" t="inlineStr">
        <is>
          <t>📍 Voir itinéraire</t>
        </is>
      </c>
    </row>
    <row r="24" ht="30" customHeight="1">
      <c r="A24" s="20" t="inlineStr">
        <is>
          <t>4. Taïga &amp; Lacs (FI)</t>
        </is>
      </c>
      <c r="B24" s="20" t="inlineStr">
        <is>
          <t>J15</t>
        </is>
      </c>
      <c r="C24" s="21" t="inlineStr">
        <is>
          <t>Ven 14 août</t>
        </is>
      </c>
      <c r="D24" s="21" t="inlineStr">
        <is>
          <t>Suomussalmi (FI)</t>
        </is>
      </c>
      <c r="E24" s="21" t="inlineStr">
        <is>
          <t>Lieksa / Koli (FI)</t>
        </is>
      </c>
      <c r="F24" s="20" t="n">
        <v>290</v>
      </c>
      <c r="G24" s="20" t="inlineStr">
        <is>
          <t>04h15</t>
        </is>
      </c>
      <c r="H24" s="21" t="inlineStr">
        <is>
          <t>Laavu / Tente</t>
        </is>
      </c>
      <c r="I24" s="21" t="inlineStr">
        <is>
          <t>Pistes forêt. Coucher soleil sur lac.</t>
        </is>
      </c>
      <c r="J24" s="6" t="inlineStr">
        <is>
          <t>📍 Voir itinéraire</t>
        </is>
      </c>
    </row>
    <row r="25" ht="30" customHeight="1">
      <c r="A25" s="20" t="inlineStr">
        <is>
          <t>4. Taïga &amp; Lacs (FI)</t>
        </is>
      </c>
      <c r="B25" s="20" t="inlineStr">
        <is>
          <t>J16</t>
        </is>
      </c>
      <c r="C25" s="21" t="inlineStr">
        <is>
          <t>Sam 15 août</t>
        </is>
      </c>
      <c r="D25" s="21" t="inlineStr">
        <is>
          <t>Lieksa (FI)</t>
        </is>
      </c>
      <c r="E25" s="21" t="inlineStr">
        <is>
          <t>Savonlinna (FI)</t>
        </is>
      </c>
      <c r="F25" s="20" t="n">
        <v>210</v>
      </c>
      <c r="G25" s="20" t="inlineStr">
        <is>
          <t>03h00</t>
        </is>
      </c>
      <c r="H25" s="21" t="inlineStr">
        <is>
          <t>Camping / Autiotupa</t>
        </is>
      </c>
      <c r="I25" s="21" t="inlineStr">
        <is>
          <t>Grands lacs, crêtes rocheuses.</t>
        </is>
      </c>
      <c r="J25" s="6" t="inlineStr">
        <is>
          <t>📍 Voir itinéraire</t>
        </is>
      </c>
    </row>
    <row r="26" ht="30" customHeight="1">
      <c r="A26" s="7" t="inlineStr">
        <is>
          <t>4. Taïga &amp; Lacs (FI)</t>
        </is>
      </c>
      <c r="B26" s="7" t="inlineStr">
        <is>
          <t>J17</t>
        </is>
      </c>
      <c r="C26" s="8" t="inlineStr">
        <is>
          <t>Dim 16 août</t>
        </is>
      </c>
      <c r="D26" s="8" t="inlineStr">
        <is>
          <t>Savonlinna (FI)</t>
        </is>
      </c>
      <c r="E26" s="8" t="inlineStr">
        <is>
          <t>Savonlinna (FI)</t>
        </is>
      </c>
      <c r="F26" s="7" t="inlineStr">
        <is>
          <t>—</t>
        </is>
      </c>
      <c r="G26" s="7" t="inlineStr">
        <is>
          <t>—</t>
        </is>
      </c>
      <c r="H26" s="8" t="inlineStr">
        <is>
          <t>Repos / Vrai Sauna</t>
        </is>
      </c>
      <c r="I26" s="8" t="inlineStr">
        <is>
          <t>Lac Saimaa. Check-up Transalp &amp; lessive.</t>
        </is>
      </c>
      <c r="J26" s="9" t="inlineStr">
        <is>
          <t>🏕 Repos</t>
        </is>
      </c>
    </row>
    <row r="27" ht="30" customHeight="1">
      <c r="A27" s="20" t="inlineStr">
        <is>
          <t>4. Taïga &amp; Lacs (FI)</t>
        </is>
      </c>
      <c r="B27" s="20" t="inlineStr">
        <is>
          <t>J18</t>
        </is>
      </c>
      <c r="C27" s="21" t="inlineStr">
        <is>
          <t>Lun 17 août</t>
        </is>
      </c>
      <c r="D27" s="21" t="inlineStr">
        <is>
          <t>Savonlinna (FI)</t>
        </is>
      </c>
      <c r="E27" s="21" t="inlineStr">
        <is>
          <t>Helsinki (FI)</t>
        </is>
      </c>
      <c r="F27" s="20" t="n">
        <v>340</v>
      </c>
      <c r="G27" s="20" t="inlineStr">
        <is>
          <t>04h30</t>
        </is>
      </c>
      <c r="H27" s="21" t="inlineStr">
        <is>
          <t>Hôtel / Auberge</t>
        </is>
      </c>
      <c r="I27" s="21" t="inlineStr">
        <is>
          <t>Traversée crête de Pulkkilanharju.</t>
        </is>
      </c>
      <c r="J27" s="6" t="inlineStr">
        <is>
          <t>📍 Voir itinéraire</t>
        </is>
      </c>
    </row>
    <row r="28" ht="15" customHeight="1">
      <c r="A28" s="10" t="inlineStr">
        <is>
          <t>Sous-total — 4. Taïga &amp; Lacs (FI)</t>
        </is>
      </c>
      <c r="F28" s="11">
        <f>SUM(F22,F23,F24,F25,F27)</f>
        <v/>
      </c>
      <c r="G28" s="12" t="n"/>
      <c r="H28" s="12" t="n"/>
      <c r="I28" s="12" t="n"/>
      <c r="J28" s="12" t="n"/>
    </row>
    <row r="29" ht="20" customHeight="1">
      <c r="A29" s="22" t="inlineStr">
        <is>
          <t xml:space="preserve">  ▶  5. Capitales &amp; Pologne</t>
        </is>
      </c>
    </row>
    <row r="30" ht="30" customHeight="1">
      <c r="A30" s="23" t="inlineStr">
        <is>
          <t>5. Capitales &amp; Pologne</t>
        </is>
      </c>
      <c r="B30" s="23" t="inlineStr">
        <is>
          <t>J19</t>
        </is>
      </c>
      <c r="C30" s="24" t="inlineStr">
        <is>
          <t>Mar 18 août</t>
        </is>
      </c>
      <c r="D30" s="24" t="inlineStr">
        <is>
          <t>Helsinki (FI)</t>
        </is>
      </c>
      <c r="E30" s="24" t="inlineStr">
        <is>
          <t>Tallinn (EE)</t>
        </is>
      </c>
      <c r="F30" s="23" t="inlineStr">
        <is>
          <t>—</t>
        </is>
      </c>
      <c r="G30" s="23" t="inlineStr">
        <is>
          <t>02h00</t>
        </is>
      </c>
      <c r="H30" s="24" t="inlineStr">
        <is>
          <t>Hôtel / Centre</t>
        </is>
      </c>
      <c r="I30" s="24" t="inlineStr">
        <is>
          <t>Ferry matin (2h). Vieille ville médiévale.</t>
        </is>
      </c>
      <c r="J30" s="25" t="inlineStr">
        <is>
          <t>⛴ Ferry Tallink</t>
        </is>
      </c>
    </row>
    <row r="31" ht="30" customHeight="1">
      <c r="A31" s="7" t="inlineStr">
        <is>
          <t>5. Capitales &amp; Pologne</t>
        </is>
      </c>
      <c r="B31" s="7" t="inlineStr">
        <is>
          <t>J20</t>
        </is>
      </c>
      <c r="C31" s="8" t="inlineStr">
        <is>
          <t>Mer 19 août</t>
        </is>
      </c>
      <c r="D31" s="8" t="inlineStr">
        <is>
          <t>Tallinn (EE)</t>
        </is>
      </c>
      <c r="E31" s="8" t="inlineStr">
        <is>
          <t>Tallinn (EE)</t>
        </is>
      </c>
      <c r="F31" s="7" t="inlineStr">
        <is>
          <t>—</t>
        </is>
      </c>
      <c r="G31" s="7" t="inlineStr">
        <is>
          <t>—</t>
        </is>
      </c>
      <c r="H31" s="8" t="inlineStr">
        <is>
          <t>Visite Urbaine</t>
        </is>
      </c>
      <c r="I31" s="8" t="inlineStr">
        <is>
          <t>Journée complète à pied dans Tallinn.</t>
        </is>
      </c>
      <c r="J31" s="9" t="inlineStr">
        <is>
          <t>🏕 Repos</t>
        </is>
      </c>
    </row>
    <row r="32" ht="30" customHeight="1">
      <c r="A32" s="23" t="inlineStr">
        <is>
          <t>5. Capitales &amp; Pologne</t>
        </is>
      </c>
      <c r="B32" s="23" t="inlineStr">
        <is>
          <t>J21</t>
        </is>
      </c>
      <c r="C32" s="24" t="inlineStr">
        <is>
          <t>Jeu 20 août</t>
        </is>
      </c>
      <c r="D32" s="24" t="inlineStr">
        <is>
          <t>Tallinn (EE)</t>
        </is>
      </c>
      <c r="E32" s="24" t="inlineStr">
        <is>
          <t>Riga (LV)</t>
        </is>
      </c>
      <c r="F32" s="23" t="n">
        <v>310</v>
      </c>
      <c r="G32" s="23" t="inlineStr">
        <is>
          <t>04h00</t>
        </is>
      </c>
      <c r="H32" s="24" t="inlineStr">
        <is>
          <t>Hôtel / Centre</t>
        </is>
      </c>
      <c r="I32" s="24" t="inlineStr">
        <is>
          <t>Côte golfe de Riga. Quartier Art Nouveau.</t>
        </is>
      </c>
      <c r="J32" s="6" t="inlineStr">
        <is>
          <t>📍 Voir itinéraire</t>
        </is>
      </c>
    </row>
    <row r="33" ht="30" customHeight="1">
      <c r="A33" s="7" t="inlineStr">
        <is>
          <t>5. Capitales &amp; Pologne</t>
        </is>
      </c>
      <c r="B33" s="7" t="inlineStr">
        <is>
          <t>J22</t>
        </is>
      </c>
      <c r="C33" s="8" t="inlineStr">
        <is>
          <t>Ven 21 août</t>
        </is>
      </c>
      <c r="D33" s="8" t="inlineStr">
        <is>
          <t>Riga (LV)</t>
        </is>
      </c>
      <c r="E33" s="8" t="inlineStr">
        <is>
          <t>Riga (LV)</t>
        </is>
      </c>
      <c r="F33" s="7" t="inlineStr">
        <is>
          <t>—</t>
        </is>
      </c>
      <c r="G33" s="7" t="inlineStr">
        <is>
          <t>—</t>
        </is>
      </c>
      <c r="H33" s="8" t="inlineStr">
        <is>
          <t>Visite Urbaine</t>
        </is>
      </c>
      <c r="I33" s="8" t="inlineStr">
        <is>
          <t>Marchés dans les hangars à Zeppelins.</t>
        </is>
      </c>
      <c r="J33" s="9" t="inlineStr">
        <is>
          <t>🏕 Repos</t>
        </is>
      </c>
    </row>
    <row r="34" ht="30" customHeight="1">
      <c r="A34" s="23" t="inlineStr">
        <is>
          <t>5. Capitales &amp; Pologne</t>
        </is>
      </c>
      <c r="B34" s="23" t="inlineStr">
        <is>
          <t>J23</t>
        </is>
      </c>
      <c r="C34" s="24" t="inlineStr">
        <is>
          <t>Sam 22 août</t>
        </is>
      </c>
      <c r="D34" s="24" t="inlineStr">
        <is>
          <t>Riga (LV)</t>
        </is>
      </c>
      <c r="E34" s="24" t="inlineStr">
        <is>
          <t>Vilnius (LT)</t>
        </is>
      </c>
      <c r="F34" s="23" t="n">
        <v>295</v>
      </c>
      <c r="G34" s="23" t="inlineStr">
        <is>
          <t>03h35</t>
        </is>
      </c>
      <c r="H34" s="24" t="inlineStr">
        <is>
          <t>Hôtel / Centre</t>
        </is>
      </c>
      <c r="I34" s="24" t="inlineStr">
        <is>
          <t>Lituanie. Ambiance République d'Užupis.</t>
        </is>
      </c>
      <c r="J34" s="6" t="inlineStr">
        <is>
          <t>📍 Voir itinéraire</t>
        </is>
      </c>
    </row>
    <row r="35" ht="30" customHeight="1">
      <c r="A35" s="7" t="inlineStr">
        <is>
          <t>5. Capitales &amp; Pologne</t>
        </is>
      </c>
      <c r="B35" s="7" t="inlineStr">
        <is>
          <t>J24</t>
        </is>
      </c>
      <c r="C35" s="8" t="inlineStr">
        <is>
          <t>Dim 23 août</t>
        </is>
      </c>
      <c r="D35" s="8" t="inlineStr">
        <is>
          <t>Vilnius (LT)</t>
        </is>
      </c>
      <c r="E35" s="8" t="inlineStr">
        <is>
          <t>Vilnius (LT)</t>
        </is>
      </c>
      <c r="F35" s="7" t="inlineStr">
        <is>
          <t>—</t>
        </is>
      </c>
      <c r="G35" s="7" t="inlineStr">
        <is>
          <t>—</t>
        </is>
      </c>
      <c r="H35" s="8" t="inlineStr">
        <is>
          <t>Visite Urbaine</t>
        </is>
      </c>
      <c r="I35" s="8" t="inlineStr">
        <is>
          <t>Journée complète à Vilnius.</t>
        </is>
      </c>
      <c r="J35" s="9" t="inlineStr">
        <is>
          <t>🏕 Repos</t>
        </is>
      </c>
    </row>
    <row r="36" ht="30" customHeight="1">
      <c r="A36" s="23" t="inlineStr">
        <is>
          <t>5. Capitales &amp; Pologne</t>
        </is>
      </c>
      <c r="B36" s="23" t="inlineStr">
        <is>
          <t>J25</t>
        </is>
      </c>
      <c r="C36" s="24" t="inlineStr">
        <is>
          <t>Lun 24 août</t>
        </is>
      </c>
      <c r="D36" s="24" t="inlineStr">
        <is>
          <t>Vilnius (LT)</t>
        </is>
      </c>
      <c r="E36" s="24" t="inlineStr">
        <is>
          <t>Varsovie (PL)</t>
        </is>
      </c>
      <c r="F36" s="23" t="n">
        <v>510</v>
      </c>
      <c r="G36" s="23" t="inlineStr">
        <is>
          <t>05h30</t>
        </is>
      </c>
      <c r="H36" s="24" t="inlineStr">
        <is>
          <t>Hôtel / Centre</t>
        </is>
      </c>
      <c r="I36" s="24" t="inlineStr">
        <is>
          <t>Traversée corridor de Suwałki.</t>
        </is>
      </c>
      <c r="J36" s="6" t="inlineStr">
        <is>
          <t>📍 Voir itinéraire</t>
        </is>
      </c>
    </row>
    <row r="37" ht="30" customHeight="1">
      <c r="A37" s="7" t="inlineStr">
        <is>
          <t>5. Capitales &amp; Pologne</t>
        </is>
      </c>
      <c r="B37" s="7" t="inlineStr">
        <is>
          <t>J26</t>
        </is>
      </c>
      <c r="C37" s="8" t="inlineStr">
        <is>
          <t>Mar 25 août</t>
        </is>
      </c>
      <c r="D37" s="8" t="inlineStr">
        <is>
          <t>Varsovie (PL)</t>
        </is>
      </c>
      <c r="E37" s="8" t="inlineStr">
        <is>
          <t>Varsovie (PL)</t>
        </is>
      </c>
      <c r="F37" s="7" t="inlineStr">
        <is>
          <t>—</t>
        </is>
      </c>
      <c r="G37" s="7" t="inlineStr">
        <is>
          <t>—</t>
        </is>
      </c>
      <c r="H37" s="8" t="inlineStr">
        <is>
          <t>Visite / Check-up</t>
        </is>
      </c>
      <c r="I37" s="8" t="inlineStr">
        <is>
          <t>Pause culturelle + check-up moto.</t>
        </is>
      </c>
      <c r="J37" s="9" t="inlineStr">
        <is>
          <t>🏕 Repos</t>
        </is>
      </c>
    </row>
    <row r="38" ht="15" customHeight="1">
      <c r="A38" s="10" t="inlineStr">
        <is>
          <t>Sous-total — 5. Capitales &amp; Pologne</t>
        </is>
      </c>
      <c r="F38" s="11">
        <f>SUM(F32,F34,F36)</f>
        <v/>
      </c>
      <c r="G38" s="12" t="n"/>
      <c r="H38" s="12" t="n"/>
      <c r="I38" s="12" t="n"/>
      <c r="J38" s="12" t="n"/>
    </row>
    <row r="39" ht="20" customHeight="1">
      <c r="A39" s="26" t="inlineStr">
        <is>
          <t xml:space="preserve">  ▶  6. Retour direct</t>
        </is>
      </c>
    </row>
    <row r="40" ht="30" customHeight="1">
      <c r="A40" s="27" t="inlineStr">
        <is>
          <t>6. Retour direct</t>
        </is>
      </c>
      <c r="B40" s="27" t="inlineStr">
        <is>
          <t>J27</t>
        </is>
      </c>
      <c r="C40" s="28" t="inlineStr">
        <is>
          <t>Mer 26 août</t>
        </is>
      </c>
      <c r="D40" s="28" t="inlineStr">
        <is>
          <t>Varsovie (PL)</t>
        </is>
      </c>
      <c r="E40" s="28" t="inlineStr">
        <is>
          <t>Poznań (PL)</t>
        </is>
      </c>
      <c r="F40" s="27" t="n">
        <v>320</v>
      </c>
      <c r="G40" s="27" t="inlineStr">
        <is>
          <t>03h40</t>
        </is>
      </c>
      <c r="H40" s="28" t="inlineStr">
        <is>
          <t>Hôtel / Pension</t>
        </is>
      </c>
      <c r="I40" s="28" t="inlineStr">
        <is>
          <t>Magnifique place du marché colorée.</t>
        </is>
      </c>
      <c r="J40" s="6" t="inlineStr">
        <is>
          <t>📍 Voir itinéraire</t>
        </is>
      </c>
    </row>
    <row r="41" ht="30" customHeight="1">
      <c r="A41" s="27" t="inlineStr">
        <is>
          <t>6. Retour direct</t>
        </is>
      </c>
      <c r="B41" s="27" t="inlineStr">
        <is>
          <t>J28</t>
        </is>
      </c>
      <c r="C41" s="28" t="inlineStr">
        <is>
          <t>Jeu 27 août</t>
        </is>
      </c>
      <c r="D41" s="28" t="inlineStr">
        <is>
          <t>Poznań (PL)</t>
        </is>
      </c>
      <c r="E41" s="28" t="inlineStr">
        <is>
          <t>Magdebourg (DE)</t>
        </is>
      </c>
      <c r="F41" s="27" t="n">
        <v>410</v>
      </c>
      <c r="G41" s="27" t="inlineStr">
        <is>
          <t>05h20</t>
        </is>
      </c>
      <c r="H41" s="28" t="inlineStr">
        <is>
          <t>Hôtel</t>
        </is>
      </c>
      <c r="I41" s="28" t="inlineStr">
        <is>
          <t>Entrée Allemagne, contournement Berlin.</t>
        </is>
      </c>
      <c r="J41" s="6" t="inlineStr">
        <is>
          <t>📍 Voir itinéraire</t>
        </is>
      </c>
    </row>
    <row r="42" ht="30" customHeight="1">
      <c r="A42" s="27" t="inlineStr">
        <is>
          <t>6. Retour direct</t>
        </is>
      </c>
      <c r="B42" s="27" t="inlineStr">
        <is>
          <t>J29</t>
        </is>
      </c>
      <c r="C42" s="28" t="inlineStr">
        <is>
          <t>Ven 28 août</t>
        </is>
      </c>
      <c r="D42" s="28" t="inlineStr">
        <is>
          <t>Magdebourg (DE)</t>
        </is>
      </c>
      <c r="E42" s="28" t="inlineStr">
        <is>
          <t>Münster (DE)</t>
        </is>
      </c>
      <c r="F42" s="27" t="n">
        <v>330</v>
      </c>
      <c r="G42" s="27" t="inlineStr">
        <is>
          <t>03h30</t>
        </is>
      </c>
      <c r="H42" s="28" t="inlineStr">
        <is>
          <t>Hôtel / Pension</t>
        </is>
      </c>
      <c r="I42" s="28" t="inlineStr">
        <is>
          <t>Traversée Basse-Saxe.</t>
        </is>
      </c>
      <c r="J42" s="6" t="inlineStr">
        <is>
          <t>📍 Voir itinéraire</t>
        </is>
      </c>
    </row>
    <row r="43" ht="30" customHeight="1">
      <c r="A43" s="27" t="inlineStr">
        <is>
          <t>6. Retour direct</t>
        </is>
      </c>
      <c r="B43" s="27" t="inlineStr">
        <is>
          <t>J30</t>
        </is>
      </c>
      <c r="C43" s="28" t="inlineStr">
        <is>
          <t>Sam 29 août</t>
        </is>
      </c>
      <c r="D43" s="28" t="inlineStr">
        <is>
          <t>Münster (DE)</t>
        </is>
      </c>
      <c r="E43" s="28" t="inlineStr">
        <is>
          <t>Abbeville (FR)</t>
        </is>
      </c>
      <c r="F43" s="27" t="n">
        <v>530</v>
      </c>
      <c r="G43" s="27" t="inlineStr">
        <is>
          <t>05h45</t>
        </is>
      </c>
      <c r="H43" s="28" t="inlineStr">
        <is>
          <t>Retour Maison</t>
        </is>
      </c>
      <c r="I43" s="28" t="inlineStr">
        <is>
          <t>Dernier run. Option variante Annecy.</t>
        </is>
      </c>
      <c r="J43" s="6" t="inlineStr">
        <is>
          <t>📍 Voir itinéraire</t>
        </is>
      </c>
    </row>
    <row r="44" ht="15" customHeight="1">
      <c r="A44" s="10" t="inlineStr">
        <is>
          <t>Sous-total — 6. Retour direct</t>
        </is>
      </c>
      <c r="F44" s="11">
        <f>SUM(F40,F41,F42,F43)</f>
        <v/>
      </c>
      <c r="G44" s="12" t="n"/>
      <c r="H44" s="12" t="n"/>
      <c r="I44" s="12" t="n"/>
      <c r="J44" s="12" t="n"/>
    </row>
    <row r="46" ht="24" customHeight="1">
      <c r="A46" s="29" t="inlineStr">
        <is>
          <t>TOTAL VOYAGE — Distance roulée (J1→J30)</t>
        </is>
      </c>
      <c r="F46" s="29">
        <f>SUM(F4,F5,F6,F7,F11,F12,F13,F16,F17,F19,F22,F23,F24,F25,F27,F32,F34,F36,F40,F41,F42,F43)</f>
        <v/>
      </c>
      <c r="G46" s="30" t="n"/>
      <c r="H46" s="30" t="n"/>
      <c r="I46" s="30" t="n"/>
      <c r="J46" s="30" t="n"/>
    </row>
  </sheetData>
  <mergeCells count="14">
    <mergeCell ref="A1:J1"/>
    <mergeCell ref="A20:E20"/>
    <mergeCell ref="A38:E38"/>
    <mergeCell ref="A28:E28"/>
    <mergeCell ref="A3:J3"/>
    <mergeCell ref="A21:J21"/>
    <mergeCell ref="A39:J39"/>
    <mergeCell ref="A15:J15"/>
    <mergeCell ref="A29:J29"/>
    <mergeCell ref="A46:E46"/>
    <mergeCell ref="A14:E14"/>
    <mergeCell ref="A44:E44"/>
    <mergeCell ref="A10:J10"/>
    <mergeCell ref="A9:E9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6" r:id="rId8"/>
    <hyperlink xmlns:r="http://schemas.openxmlformats.org/officeDocument/2006/relationships" ref="J17" r:id="rId9"/>
    <hyperlink xmlns:r="http://schemas.openxmlformats.org/officeDocument/2006/relationships" ref="J19" r:id="rId10"/>
    <hyperlink xmlns:r="http://schemas.openxmlformats.org/officeDocument/2006/relationships" ref="J22" r:id="rId11"/>
    <hyperlink xmlns:r="http://schemas.openxmlformats.org/officeDocument/2006/relationships" ref="J23" r:id="rId12"/>
    <hyperlink xmlns:r="http://schemas.openxmlformats.org/officeDocument/2006/relationships" ref="J24" r:id="rId13"/>
    <hyperlink xmlns:r="http://schemas.openxmlformats.org/officeDocument/2006/relationships" ref="J25" r:id="rId14"/>
    <hyperlink xmlns:r="http://schemas.openxmlformats.org/officeDocument/2006/relationships" ref="J27" r:id="rId15"/>
    <hyperlink xmlns:r="http://schemas.openxmlformats.org/officeDocument/2006/relationships" ref="J30" r:id="rId16"/>
    <hyperlink xmlns:r="http://schemas.openxmlformats.org/officeDocument/2006/relationships" ref="J32" r:id="rId17"/>
    <hyperlink xmlns:r="http://schemas.openxmlformats.org/officeDocument/2006/relationships" ref="J34" r:id="rId18"/>
    <hyperlink xmlns:r="http://schemas.openxmlformats.org/officeDocument/2006/relationships" ref="J36" r:id="rId19"/>
    <hyperlink xmlns:r="http://schemas.openxmlformats.org/officeDocument/2006/relationships" ref="J40" r:id="rId20"/>
    <hyperlink xmlns:r="http://schemas.openxmlformats.org/officeDocument/2006/relationships" ref="J41" r:id="rId21"/>
    <hyperlink xmlns:r="http://schemas.openxmlformats.org/officeDocument/2006/relationships" ref="J42" r:id="rId22"/>
    <hyperlink xmlns:r="http://schemas.openxmlformats.org/officeDocument/2006/relationships" ref="J43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2026-06-29T16:54:14Z</dcterms:created>
  <dcterms:modified xmlns:dcterms="http://purl.org/dc/terms/" xmlns:xsi="http://www.w3.org/2001/XMLSchema-instance" xsi:type="dcterms:W3CDTF">2026-06-29T16:54:14Z</dcterms:modified>
</cp:coreProperties>
</file>